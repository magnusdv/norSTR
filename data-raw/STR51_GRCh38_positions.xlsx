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ocs\Rstuff\PEDSUITE\norSTR\data-raw\"/>
    </mc:Choice>
  </mc:AlternateContent>
  <xr:revisionPtr revIDLastSave="0" documentId="13_ncr:1_{5B4C024B-859C-4366-A074-9A62586FEC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Ch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<sst xmlns="http://schemas.openxmlformats.org/spreadsheetml/2006/main" count="131" uniqueCount="71">
  <si>
    <t>Marker</t>
  </si>
  <si>
    <t>Chr</t>
  </si>
  <si>
    <t>StartBP</t>
  </si>
  <si>
    <t>EndBP</t>
  </si>
  <si>
    <t>URL</t>
  </si>
  <si>
    <t>Comment</t>
  </si>
  <si>
    <t>D1S1656</t>
  </si>
  <si>
    <t>TPOX</t>
  </si>
  <si>
    <t>D2S1360</t>
  </si>
  <si>
    <t>STS interval</t>
  </si>
  <si>
    <t>D2S441</t>
  </si>
  <si>
    <t>D2S1338</t>
  </si>
  <si>
    <t>D3S1358</t>
  </si>
  <si>
    <t>D3S3045</t>
  </si>
  <si>
    <t>D3S1744</t>
  </si>
  <si>
    <t>D4S2366</t>
  </si>
  <si>
    <t>FGA</t>
  </si>
  <si>
    <t>D5S2500</t>
  </si>
  <si>
    <t>D5S2800</t>
  </si>
  <si>
    <t>D5S818</t>
  </si>
  <si>
    <t>CSF1PO</t>
  </si>
  <si>
    <t>D6S477</t>
  </si>
  <si>
    <t>SE33</t>
  </si>
  <si>
    <t>D6S1043</t>
  </si>
  <si>
    <t>D6S474</t>
  </si>
  <si>
    <t>D7S3048</t>
  </si>
  <si>
    <t>D7S820</t>
  </si>
  <si>
    <t>D7S1517</t>
  </si>
  <si>
    <t>D8S1132</t>
  </si>
  <si>
    <t>D8S1179</t>
  </si>
  <si>
    <t>D9S1122</t>
  </si>
  <si>
    <t>D10S1435</t>
  </si>
  <si>
    <t>D10S2325</t>
  </si>
  <si>
    <t>D10S1248</t>
  </si>
  <si>
    <t>TH01</t>
  </si>
  <si>
    <t>D11S2368</t>
  </si>
  <si>
    <t>D11S554</t>
  </si>
  <si>
    <t>vWA</t>
  </si>
  <si>
    <t>D12S391</t>
  </si>
  <si>
    <t>D13S325</t>
  </si>
  <si>
    <t>D13S317</t>
  </si>
  <si>
    <t>D14S1434</t>
  </si>
  <si>
    <t>D15S659</t>
  </si>
  <si>
    <t>Penta E</t>
  </si>
  <si>
    <t>D16S539</t>
  </si>
  <si>
    <t>D17S906</t>
  </si>
  <si>
    <t>D17S1301</t>
  </si>
  <si>
    <t>D18S51</t>
  </si>
  <si>
    <t>D18S1364</t>
  </si>
  <si>
    <t>D19S253</t>
  </si>
  <si>
    <t>D19S433</t>
  </si>
  <si>
    <t>D20S482</t>
  </si>
  <si>
    <t>D21S11</t>
  </si>
  <si>
    <t>D21S2055</t>
  </si>
  <si>
    <t>Penta D</t>
  </si>
  <si>
    <t>D22GATA198B05</t>
  </si>
  <si>
    <t>D22S1045</t>
  </si>
  <si>
    <t>Mb</t>
  </si>
  <si>
    <t>Inhouse marker</t>
  </si>
  <si>
    <t>Primer positions</t>
  </si>
  <si>
    <t>APOC3</t>
  </si>
  <si>
    <t>Kit</t>
  </si>
  <si>
    <t>Fusion6C/SureID</t>
  </si>
  <si>
    <t>Fusion6C</t>
  </si>
  <si>
    <t>HDplex</t>
  </si>
  <si>
    <t>SureID27</t>
  </si>
  <si>
    <t>HDplex/SureID</t>
  </si>
  <si>
    <t>SureID</t>
  </si>
  <si>
    <t>MP3</t>
  </si>
  <si>
    <t>MP6</t>
  </si>
  <si>
    <t>VeriFiler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</si>
</sst>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>
    <font>
      <sz val="11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563C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6F9"/>
      </patternFill>
    </fill>
    <fill>
      <patternFill patternType="solid">
        <fgColor rgb="FF17364D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000000"/>
      <fill>
        <patternFill patternType="solid">
          <fgColor indexed="64"/>
          <bgColor rgb="FFF3F6F9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000000"/>
      <fill>
        <patternFill patternType="solid">
          <fgColor indexed="64"/>
          <bgColor rgb="FFF3F6F9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Positions" displayName="STRPositions" ref="A1:H52" totalsRowShown="0" headerRowDxfId="1" dataDxfId="0">
  <tableColumns count="8">
    <tableColumn id="1" xr3:uid="{00000000-0010-0000-0000-000001000000}" name="Marker" dataDxfId="9"/>
    <tableColumn id="2" xr3:uid="{00000000-0010-0000-0000-000002000000}" name="Chr" dataDxfId="8"/>
    <tableColumn id="3" xr3:uid="{00000000-0010-0000-0000-000003000000}" name="StartBP" dataDxfId="7"/>
    <tableColumn id="4" xr3:uid="{00000000-0010-0000-0000-000004000000}" name="EndBP" dataDxfId="6"/>
    <tableColumn id="5" xr3:uid="{00000000-0010-0000-0000-000005000000}" name="Mb" dataDxfId="5"/>
    <tableColumn id="8" xr3:uid="{8766583B-31E5-434F-B691-A684F070BE61}" name="Kit" dataDxfId="4"/>
    <tableColumn id="6" xr3:uid="{00000000-0010-0000-0000-000006000000}" name="URL" dataDxfId="3"/>
    <tableColumn id="7" xr3:uid="{00000000-0010-0000-0000-000007000000}" name="Com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/>
  </sheetViews>
  <sheetFormatPr defaultColWidth="32.3984375" defaultRowHeight="14.4"/>
  <cols>
    <col min="1" max="1" width="13.3984375" style="3" bestFit="1" customWidth="1"/>
    <col min="2" max="2" width="3.5" style="3" bestFit="1" customWidth="1"/>
    <col min="3" max="4" width="9.796875" style="3" bestFit="1" customWidth="1"/>
    <col min="5" max="5" width="10.296875" style="3" bestFit="1" customWidth="1"/>
    <col min="6" max="6" width="13.09765625" style="3" bestFit="1" customWidth="1"/>
    <col min="7" max="7" width="36.09765625" style="3" customWidth="1"/>
    <col min="8" max="8" width="12.69921875" style="18" bestFit="1" customWidth="1"/>
    <col min="9" max="16384" width="32.3984375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61</v>
      </c>
      <c r="G1" s="1" t="s">
        <v>4</v>
      </c>
      <c r="H1" s="2" t="s">
        <v>5</v>
      </c>
    </row>
    <row r="2" spans="1:8">
      <c r="A2" s="4" t="s">
        <v>6</v>
      </c>
      <c r="B2" s="5">
        <v>1</v>
      </c>
      <c r="C2" s="6">
        <v>230769616</v>
      </c>
      <c r="D2" s="6">
        <v>230769683</v>
      </c>
      <c r="E2" s="7">
        <v>230.76964950000001</v>
      </c>
      <c r="F2" s="7" t="s">
        <v>62</v>
      </c>
      <c r="G2" s="8" t="str">
        <f>IFERROR(HYPERLINK("https://strhub.app/marker/d1s1656","https://strhub.app/marker/d1s1656"),"https://strhub.app/marker/d1s1656")</f>
        <v>https://strhub.app/marker/d1s1656</v>
      </c>
      <c r="H2" s="5"/>
    </row>
    <row r="3" spans="1:8">
      <c r="A3" s="9" t="s">
        <v>7</v>
      </c>
      <c r="B3" s="10">
        <v>2</v>
      </c>
      <c r="C3" s="11">
        <v>1489653</v>
      </c>
      <c r="D3" s="11">
        <v>1489684</v>
      </c>
      <c r="E3" s="12">
        <v>1.4896685000000001</v>
      </c>
      <c r="F3" s="12" t="s">
        <v>63</v>
      </c>
      <c r="G3" s="13" t="str">
        <f>IFERROR(HYPERLINK("https://strhub.app/marker/tpox","https://strhub.app/marker/tpox"),"https://strhub.app/marker/tpox")</f>
        <v>https://strhub.app/marker/tpox</v>
      </c>
      <c r="H3" s="10"/>
    </row>
    <row r="4" spans="1:8">
      <c r="A4" s="4" t="s">
        <v>8</v>
      </c>
      <c r="B4" s="5">
        <v>2</v>
      </c>
      <c r="C4" s="6">
        <v>17310655</v>
      </c>
      <c r="D4" s="6">
        <v>17311028</v>
      </c>
      <c r="E4" s="7">
        <v>17.310841499999999</v>
      </c>
      <c r="F4" s="7" t="s">
        <v>64</v>
      </c>
      <c r="G4" s="8" t="str">
        <f>IFERROR(HYPERLINK("https://genome.ucsc.edu/cgi-bin/hgc?db=hg38&amp;g=stsMap&amp;i=GATA11H10&amp;c=chr2&amp;o=17310654&amp;t=17311028","https://genome.ucsc.edu/cgi-bin/hgc?db=hg38&amp;g=stsMap&amp;i=GATA11H10&amp;c=chr2&amp;o=17310654&amp;t=17311028"),"https://genome.ucsc.edu/cgi-bin/hgc?db=hg38&amp;g=stsMap&amp;i=GATA11H10&amp;c=chr2&amp;o=17310654&amp;t=17311028")</f>
        <v>https://genome.ucsc.edu/cgi-bin/hgc?db=hg38&amp;g=stsMap&amp;i=GATA11H10&amp;c=chr2&amp;o=17310654&amp;t=17311028</v>
      </c>
      <c r="H4" s="5" t="s">
        <v>9</v>
      </c>
    </row>
    <row r="5" spans="1:8">
      <c r="A5" s="9" t="s">
        <v>10</v>
      </c>
      <c r="B5" s="10">
        <v>2</v>
      </c>
      <c r="C5" s="11">
        <v>68011947</v>
      </c>
      <c r="D5" s="11">
        <v>68011994</v>
      </c>
      <c r="E5" s="12">
        <v>68.011970500000004</v>
      </c>
      <c r="F5" s="12" t="s">
        <v>62</v>
      </c>
      <c r="G5" s="13" t="str">
        <f>IFERROR(HYPERLINK("https://strhub.app/marker/d2s441","https://strhub.app/marker/d2s441"),"https://strhub.app/marker/d2s441")</f>
        <v>https://strhub.app/marker/d2s441</v>
      </c>
      <c r="H5" s="10"/>
    </row>
    <row r="6" spans="1:8">
      <c r="A6" s="4" t="s">
        <v>11</v>
      </c>
      <c r="B6" s="5">
        <v>2</v>
      </c>
      <c r="C6" s="6">
        <v>218014859</v>
      </c>
      <c r="D6" s="6">
        <v>218014950</v>
      </c>
      <c r="E6" s="7">
        <v>218.0149045</v>
      </c>
      <c r="F6" s="7" t="s">
        <v>63</v>
      </c>
      <c r="G6" s="8" t="str">
        <f>IFERROR(HYPERLINK("https://strhub.app/marker/d2s1338","https://strhub.app/marker/d2s1338"),"https://strhub.app/marker/d2s1338")</f>
        <v>https://strhub.app/marker/d2s1338</v>
      </c>
      <c r="H6" s="5"/>
    </row>
    <row r="7" spans="1:8">
      <c r="A7" s="9" t="s">
        <v>12</v>
      </c>
      <c r="B7" s="10">
        <v>3</v>
      </c>
      <c r="C7" s="11">
        <v>45540739</v>
      </c>
      <c r="D7" s="11">
        <v>45540802</v>
      </c>
      <c r="E7" s="12">
        <v>45.540770500000001</v>
      </c>
      <c r="F7" s="12" t="s">
        <v>63</v>
      </c>
      <c r="G7" s="13" t="str">
        <f>IFERROR(HYPERLINK("https://strhub.app/marker/d3s1358","https://strhub.app/marker/d3s1358"),"https://strhub.app/marker/d3s1358")</f>
        <v>https://strhub.app/marker/d3s1358</v>
      </c>
      <c r="H7" s="10"/>
    </row>
    <row r="8" spans="1:8">
      <c r="A8" s="4" t="s">
        <v>13</v>
      </c>
      <c r="B8" s="5">
        <v>3</v>
      </c>
      <c r="C8" s="6">
        <v>107271010</v>
      </c>
      <c r="D8" s="6">
        <v>107271314</v>
      </c>
      <c r="E8" s="7">
        <v>107.271162</v>
      </c>
      <c r="F8" s="7" t="s">
        <v>65</v>
      </c>
      <c r="G8" s="8" t="str">
        <f>IFERROR(HYPERLINK("https://genome.ucsc.edu/cgi-bin/hgc?db=hg38&amp;g=stsMap&amp;i=CHLC.GATA84B12&amp;c=chr3&amp;o=107271009&amp;t=107271314","https://genome.ucsc.edu/cgi-bin/hgc?db=hg38&amp;g=stsMap&amp;i=CHLC.GATA84B12&amp;c=chr3&amp;o=107271009&amp;t=107271314"),"https://genome.ucsc.edu/cgi-bin/hgc?db=hg38&amp;g=stsMap&amp;i=CHLC.GATA84B12&amp;c=chr3&amp;o=107271009&amp;t=107271314")</f>
        <v>https://genome.ucsc.edu/cgi-bin/hgc?db=hg38&amp;g=stsMap&amp;i=CHLC.GATA84B12&amp;c=chr3&amp;o=107271009&amp;t=107271314</v>
      </c>
      <c r="H8" s="5" t="s">
        <v>9</v>
      </c>
    </row>
    <row r="9" spans="1:8">
      <c r="A9" s="9" t="s">
        <v>14</v>
      </c>
      <c r="B9" s="10">
        <v>3</v>
      </c>
      <c r="C9" s="11">
        <v>147374708</v>
      </c>
      <c r="D9" s="11">
        <v>147375066</v>
      </c>
      <c r="E9" s="12">
        <v>147.374887</v>
      </c>
      <c r="F9" s="12" t="s">
        <v>66</v>
      </c>
      <c r="G9" s="13" t="str">
        <f>IFERROR(HYPERLINK("https://genome.ucsc.edu/cgi-bin/hgc?db=hg38&amp;g=stsMap&amp;i=CHLC.GATA3C02.25&amp;c=chr3&amp;o=147374707&amp;t=147375066","https://genome.ucsc.edu/cgi-bin/hgc?db=hg38&amp;g=stsMap&amp;i=CHLC.GATA3C02.25&amp;c=chr3&amp;o=147374707&amp;t=147375066"),"https://genome.ucsc.edu/cgi-bin/hgc?db=hg38&amp;g=stsMap&amp;i=CHLC.GATA3C02.25&amp;c=chr3&amp;o=147374707&amp;t=147375066")</f>
        <v>https://genome.ucsc.edu/cgi-bin/hgc?db=hg38&amp;g=stsMap&amp;i=CHLC.GATA3C02.25&amp;c=chr3&amp;o=147374707&amp;t=147375066</v>
      </c>
      <c r="H9" s="10" t="s">
        <v>9</v>
      </c>
    </row>
    <row r="10" spans="1:8">
      <c r="A10" s="4" t="s">
        <v>15</v>
      </c>
      <c r="B10" s="5">
        <v>4</v>
      </c>
      <c r="C10" s="6">
        <v>6482951</v>
      </c>
      <c r="D10" s="6">
        <v>6483220</v>
      </c>
      <c r="E10" s="7">
        <v>6.4830854999999996</v>
      </c>
      <c r="F10" s="7" t="s">
        <v>66</v>
      </c>
      <c r="G10" s="8" t="str">
        <f>IFERROR(HYPERLINK("https://genome.ucsc.edu/cgi-bin/hgc?db=hg38&amp;g=stsMap&amp;i=GATA22G05&amp;c=chr4&amp;o=6482950&amp;t=6483220","https://genome.ucsc.edu/cgi-bin/hgc?db=hg38&amp;g=stsMap&amp;i=GATA22G05&amp;c=chr4&amp;o=6482950&amp;t=6483220"),"https://genome.ucsc.edu/cgi-bin/hgc?db=hg38&amp;g=stsMap&amp;i=GATA22G05&amp;c=chr4&amp;o=6482950&amp;t=6483220")</f>
        <v>https://genome.ucsc.edu/cgi-bin/hgc?db=hg38&amp;g=stsMap&amp;i=GATA22G05&amp;c=chr4&amp;o=6482950&amp;t=6483220</v>
      </c>
      <c r="H10" s="5" t="s">
        <v>9</v>
      </c>
    </row>
    <row r="11" spans="1:8">
      <c r="A11" s="9" t="s">
        <v>16</v>
      </c>
      <c r="B11" s="10">
        <v>4</v>
      </c>
      <c r="C11" s="11">
        <v>154587736</v>
      </c>
      <c r="D11" s="11">
        <v>154587823</v>
      </c>
      <c r="E11" s="12">
        <v>154.58777950000001</v>
      </c>
      <c r="F11" s="12" t="s">
        <v>63</v>
      </c>
      <c r="G11" s="13" t="str">
        <f>IFERROR(HYPERLINK("https://strhub.app/marker/fga","https://strhub.app/marker/fga"),"https://strhub.app/marker/fga")</f>
        <v>https://strhub.app/marker/fga</v>
      </c>
      <c r="H11" s="10"/>
    </row>
    <row r="12" spans="1:8">
      <c r="A12" s="4" t="s">
        <v>17</v>
      </c>
      <c r="B12" s="5">
        <v>5</v>
      </c>
      <c r="C12" s="6">
        <v>59401215</v>
      </c>
      <c r="D12" s="6">
        <v>59401522</v>
      </c>
      <c r="E12" s="7">
        <v>59.401368499999997</v>
      </c>
      <c r="F12" s="7" t="s">
        <v>64</v>
      </c>
      <c r="G12" s="8" t="str">
        <f>IFERROR(HYPERLINK("https://genome.ucsc.edu/cgi-bin/hgc?db=hg38&amp;g=stsMap&amp;i=CHLC.GATA67D03&amp;c=chr5&amp;o=59401214&amp;t=59401522","https://genome.ucsc.edu/cgi-bin/hgc?db=hg38&amp;g=stsMap&amp;i=CHLC.GATA67D03&amp;c=chr5&amp;o=59401214&amp;t=59401522"),"https://genome.ucsc.edu/cgi-bin/hgc?db=hg38&amp;g=stsMap&amp;i=CHLC.GATA67D03&amp;c=chr5&amp;o=59401214&amp;t=59401522")</f>
        <v>https://genome.ucsc.edu/cgi-bin/hgc?db=hg38&amp;g=stsMap&amp;i=CHLC.GATA67D03&amp;c=chr5&amp;o=59401214&amp;t=59401522</v>
      </c>
      <c r="H12" s="5" t="s">
        <v>9</v>
      </c>
    </row>
    <row r="13" spans="1:8">
      <c r="A13" s="9" t="s">
        <v>18</v>
      </c>
      <c r="B13" s="10">
        <v>5</v>
      </c>
      <c r="C13" s="11">
        <v>59403132</v>
      </c>
      <c r="D13" s="11">
        <v>59403199</v>
      </c>
      <c r="E13" s="12">
        <v>59.4031655</v>
      </c>
      <c r="F13" s="12" t="s">
        <v>67</v>
      </c>
      <c r="G13" s="13" t="str">
        <f>IFERROR(HYPERLINK("https://strhub.app/marker/d5s2800","https://strhub.app/marker/d5s2800"),"https://strhub.app/marker/d5s2800")</f>
        <v>https://strhub.app/marker/d5s2800</v>
      </c>
      <c r="H13" s="10"/>
    </row>
    <row r="14" spans="1:8">
      <c r="A14" s="4" t="s">
        <v>19</v>
      </c>
      <c r="B14" s="5">
        <v>5</v>
      </c>
      <c r="C14" s="6">
        <v>123775556</v>
      </c>
      <c r="D14" s="6">
        <v>123775599</v>
      </c>
      <c r="E14" s="7">
        <v>123.7755775</v>
      </c>
      <c r="F14" s="7" t="s">
        <v>63</v>
      </c>
      <c r="G14" s="8" t="str">
        <f>IFERROR(HYPERLINK("https://strhub.app/marker/d5s818","https://strhub.app/marker/d5s818"),"https://strhub.app/marker/d5s818")</f>
        <v>https://strhub.app/marker/d5s818</v>
      </c>
      <c r="H14" s="5"/>
    </row>
    <row r="15" spans="1:8">
      <c r="A15" s="9" t="s">
        <v>20</v>
      </c>
      <c r="B15" s="10">
        <v>5</v>
      </c>
      <c r="C15" s="11">
        <v>150076324</v>
      </c>
      <c r="D15" s="11">
        <v>150076375</v>
      </c>
      <c r="E15" s="12">
        <v>150.07634949999999</v>
      </c>
      <c r="F15" s="12" t="s">
        <v>63</v>
      </c>
      <c r="G15" s="13" t="str">
        <f>IFERROR(HYPERLINK("https://strhub.app/marker/csf1po","https://strhub.app/marker/csf1po"),"https://strhub.app/marker/csf1po")</f>
        <v>https://strhub.app/marker/csf1po</v>
      </c>
      <c r="H15" s="10"/>
    </row>
    <row r="16" spans="1:8">
      <c r="A16" s="4" t="s">
        <v>21</v>
      </c>
      <c r="B16" s="5">
        <v>6</v>
      </c>
      <c r="C16" s="6">
        <v>6140149</v>
      </c>
      <c r="D16" s="6">
        <v>6140528</v>
      </c>
      <c r="E16" s="7">
        <v>6.1403385000000004</v>
      </c>
      <c r="F16" s="7" t="s">
        <v>65</v>
      </c>
      <c r="G16" s="8" t="str">
        <f>IFERROR(HYPERLINK("https://genome.ucsc.edu/cgi-bin/hgc?db=hg38&amp;g=stsMap&amp;i=CHLC.GATA3H05.73&amp;c=chr6&amp;o=6140148&amp;t=6140528","https://genome.ucsc.edu/cgi-bin/hgc?db=hg38&amp;g=stsMap&amp;i=CHLC.GATA3H05.73&amp;c=chr6&amp;o=6140148&amp;t=6140528"),"https://genome.ucsc.edu/cgi-bin/hgc?db=hg38&amp;g=stsMap&amp;i=CHLC.GATA3H05.73&amp;c=chr6&amp;o=6140148&amp;t=6140528")</f>
        <v>https://genome.ucsc.edu/cgi-bin/hgc?db=hg38&amp;g=stsMap&amp;i=CHLC.GATA3H05.73&amp;c=chr6&amp;o=6140148&amp;t=6140528</v>
      </c>
      <c r="H16" s="5" t="s">
        <v>9</v>
      </c>
    </row>
    <row r="17" spans="1:8">
      <c r="A17" s="9" t="s">
        <v>22</v>
      </c>
      <c r="B17" s="10">
        <v>6</v>
      </c>
      <c r="C17" s="11">
        <v>88277144</v>
      </c>
      <c r="D17" s="11">
        <v>88277245</v>
      </c>
      <c r="E17" s="12">
        <v>88.277194499999993</v>
      </c>
      <c r="F17" s="12" t="s">
        <v>63</v>
      </c>
      <c r="G17" s="13" t="str">
        <f>IFERROR(HYPERLINK("https://strhub.app/marker/se33","https://strhub.app/marker/se33"),"https://strhub.app/marker/se33")</f>
        <v>https://strhub.app/marker/se33</v>
      </c>
      <c r="H17" s="10"/>
    </row>
    <row r="18" spans="1:8">
      <c r="A18" s="4" t="s">
        <v>23</v>
      </c>
      <c r="B18" s="5">
        <v>6</v>
      </c>
      <c r="C18" s="6">
        <v>91740225</v>
      </c>
      <c r="D18" s="6">
        <v>91740272</v>
      </c>
      <c r="E18" s="7">
        <v>91.740248500000007</v>
      </c>
      <c r="F18" s="7" t="s">
        <v>70</v>
      </c>
      <c r="G18" s="8" t="str">
        <f>IFERROR(HYPERLINK("https://strhub.app/marker/d6s1043","https://strhub.app/marker/d6s1043"),"https://strhub.app/marker/d6s1043")</f>
        <v>https://strhub.app/marker/d6s1043</v>
      </c>
      <c r="H18" s="5"/>
    </row>
    <row r="19" spans="1:8">
      <c r="A19" s="9" t="s">
        <v>24</v>
      </c>
      <c r="B19" s="10">
        <v>6</v>
      </c>
      <c r="C19" s="11">
        <v>112557951</v>
      </c>
      <c r="D19" s="11">
        <v>112558018</v>
      </c>
      <c r="E19" s="12">
        <v>112.5579845</v>
      </c>
      <c r="F19" s="12" t="s">
        <v>66</v>
      </c>
      <c r="G19" s="13" t="str">
        <f>IFERROR(HYPERLINK("https://strhub.app/marker/d6s474","https://strhub.app/marker/d6s474"),"https://strhub.app/marker/d6s474")</f>
        <v>https://strhub.app/marker/d6s474</v>
      </c>
      <c r="H19" s="10"/>
    </row>
    <row r="20" spans="1:8">
      <c r="A20" s="4" t="s">
        <v>25</v>
      </c>
      <c r="B20" s="5">
        <v>7</v>
      </c>
      <c r="C20" s="6">
        <v>21227022</v>
      </c>
      <c r="D20" s="6">
        <v>21227296</v>
      </c>
      <c r="E20" s="7">
        <v>21.227159</v>
      </c>
      <c r="F20" s="7" t="s">
        <v>67</v>
      </c>
      <c r="G20" s="8" t="str">
        <f>IFERROR(HYPERLINK("https://genome.ucsc.edu/cgi-bin/hgc?db=hg38&amp;g=stsMap&amp;i=GATA124D01&amp;c=chr7&amp;o=21227021&amp;t=21227296","https://genome.ucsc.edu/cgi-bin/hgc?db=hg38&amp;g=stsMap&amp;i=GATA124D01&amp;c=chr7&amp;o=21227021&amp;t=21227296"),"https://genome.ucsc.edu/cgi-bin/hgc?db=hg38&amp;g=stsMap&amp;i=GATA124D01&amp;c=chr7&amp;o=21227021&amp;t=21227296")</f>
        <v>https://genome.ucsc.edu/cgi-bin/hgc?db=hg38&amp;g=stsMap&amp;i=GATA124D01&amp;c=chr7&amp;o=21227021&amp;t=21227296</v>
      </c>
      <c r="H20" s="5" t="s">
        <v>9</v>
      </c>
    </row>
    <row r="21" spans="1:8">
      <c r="A21" s="9" t="s">
        <v>26</v>
      </c>
      <c r="B21" s="10">
        <v>7</v>
      </c>
      <c r="C21" s="11">
        <v>84160226</v>
      </c>
      <c r="D21" s="11">
        <v>84160277</v>
      </c>
      <c r="E21" s="12">
        <v>84.160251500000001</v>
      </c>
      <c r="F21" s="12" t="s">
        <v>63</v>
      </c>
      <c r="G21" s="13" t="str">
        <f>IFERROR(HYPERLINK("https://strhub.app/marker/d7s820","https://strhub.app/marker/d7s820"),"https://strhub.app/marker/d7s820")</f>
        <v>https://strhub.app/marker/d7s820</v>
      </c>
      <c r="H21" s="10"/>
    </row>
    <row r="22" spans="1:8">
      <c r="A22" s="4" t="s">
        <v>27</v>
      </c>
      <c r="B22" s="5">
        <v>7</v>
      </c>
      <c r="C22" s="6">
        <v>123857597</v>
      </c>
      <c r="D22" s="6">
        <v>123857996</v>
      </c>
      <c r="E22" s="7">
        <v>123.85779650000001</v>
      </c>
      <c r="F22" s="7" t="s">
        <v>64</v>
      </c>
      <c r="G22" s="8" t="str">
        <f>IFERROR(HYPERLINK("https://genome.ucsc.edu/cgi-bin/hgc?db=hg38&amp;g=stsMap&amp;i=UT6241&amp;c=chr7&amp;o=123857596&amp;t=123857996","https://genome.ucsc.edu/cgi-bin/hgc?db=hg38&amp;g=stsMap&amp;i=UT6241&amp;c=chr7&amp;o=123857596&amp;t=123857996"),"https://genome.ucsc.edu/cgi-bin/hgc?db=hg38&amp;g=stsMap&amp;i=UT6241&amp;c=chr7&amp;o=123857596&amp;t=123857996")</f>
        <v>https://genome.ucsc.edu/cgi-bin/hgc?db=hg38&amp;g=stsMap&amp;i=UT6241&amp;c=chr7&amp;o=123857596&amp;t=123857996</v>
      </c>
      <c r="H22" s="5" t="s">
        <v>9</v>
      </c>
    </row>
    <row r="23" spans="1:8">
      <c r="A23" s="9" t="s">
        <v>28</v>
      </c>
      <c r="B23" s="10">
        <v>8</v>
      </c>
      <c r="C23" s="11">
        <v>106316593</v>
      </c>
      <c r="D23" s="11">
        <v>106316844</v>
      </c>
      <c r="E23" s="12">
        <v>106.31671849999999</v>
      </c>
      <c r="F23" s="12" t="s">
        <v>66</v>
      </c>
      <c r="G23" s="13" t="str">
        <f>IFERROR(HYPERLINK("https://genome.ucsc.edu/cgi-bin/hgc?db=hg38&amp;g=stsMap&amp;i=CHLC.GATA26E03&amp;c=chr8&amp;o=106316592&amp;t=106316844","https://genome.ucsc.edu/cgi-bin/hgc?db=hg38&amp;g=stsMap&amp;i=CHLC.GATA26E03&amp;c=chr8&amp;o=106316592&amp;t=106316844"),"https://genome.ucsc.edu/cgi-bin/hgc?db=hg38&amp;g=stsMap&amp;i=CHLC.GATA26E03&amp;c=chr8&amp;o=106316592&amp;t=106316844")</f>
        <v>https://genome.ucsc.edu/cgi-bin/hgc?db=hg38&amp;g=stsMap&amp;i=CHLC.GATA26E03&amp;c=chr8&amp;o=106316592&amp;t=106316844</v>
      </c>
      <c r="H23" s="10" t="s">
        <v>9</v>
      </c>
    </row>
    <row r="24" spans="1:8">
      <c r="A24" s="4" t="s">
        <v>29</v>
      </c>
      <c r="B24" s="5">
        <v>8</v>
      </c>
      <c r="C24" s="6">
        <v>124894865</v>
      </c>
      <c r="D24" s="6">
        <v>124894916</v>
      </c>
      <c r="E24" s="7">
        <v>124.8948905</v>
      </c>
      <c r="F24" s="7" t="s">
        <v>63</v>
      </c>
      <c r="G24" s="8" t="str">
        <f>IFERROR(HYPERLINK("https://strhub.app/marker/d8s1179","https://strhub.app/marker/d8s1179"),"https://strhub.app/marker/d8s1179")</f>
        <v>https://strhub.app/marker/d8s1179</v>
      </c>
      <c r="H24" s="5"/>
    </row>
    <row r="25" spans="1:8">
      <c r="A25" s="9" t="s">
        <v>30</v>
      </c>
      <c r="B25" s="10">
        <v>9</v>
      </c>
      <c r="C25" s="11">
        <v>77073826</v>
      </c>
      <c r="D25" s="11">
        <v>77073873</v>
      </c>
      <c r="E25" s="12">
        <v>77.073849499999994</v>
      </c>
      <c r="F25" s="12" t="s">
        <v>67</v>
      </c>
      <c r="G25" s="13" t="str">
        <f>IFERROR(HYPERLINK("https://strhub.app/marker/d9s1122","https://strhub.app/marker/d9s1122"),"https://strhub.app/marker/d9s1122")</f>
        <v>https://strhub.app/marker/d9s1122</v>
      </c>
      <c r="H25" s="10"/>
    </row>
    <row r="26" spans="1:8">
      <c r="A26" s="4" t="s">
        <v>31</v>
      </c>
      <c r="B26" s="5">
        <v>10</v>
      </c>
      <c r="C26" s="6">
        <v>2201026</v>
      </c>
      <c r="D26" s="6">
        <v>2201358</v>
      </c>
      <c r="E26" s="7">
        <v>2.2011919999999998</v>
      </c>
      <c r="F26" s="7" t="s">
        <v>65</v>
      </c>
      <c r="G26" s="8" t="str">
        <f>IFERROR(HYPERLINK("https://genome.ucsc.edu/cgi-bin/hgc?db=hg38&amp;g=stsMap&amp;i=CHLC.GATA88F09&amp;c=chr10&amp;o=2201025&amp;t=2201358","https://genome.ucsc.edu/cgi-bin/hgc?db=hg38&amp;g=stsMap&amp;i=CHLC.GATA88F09&amp;c=chr10&amp;o=2201025&amp;t=2201358"),"https://genome.ucsc.edu/cgi-bin/hgc?db=hg38&amp;g=stsMap&amp;i=CHLC.GATA88F09&amp;c=chr10&amp;o=2201025&amp;t=2201358")</f>
        <v>https://genome.ucsc.edu/cgi-bin/hgc?db=hg38&amp;g=stsMap&amp;i=CHLC.GATA88F09&amp;c=chr10&amp;o=2201025&amp;t=2201358</v>
      </c>
      <c r="H26" s="5" t="s">
        <v>9</v>
      </c>
    </row>
    <row r="27" spans="1:8">
      <c r="A27" s="9" t="s">
        <v>32</v>
      </c>
      <c r="B27" s="10">
        <v>10</v>
      </c>
      <c r="C27" s="11">
        <v>12750947</v>
      </c>
      <c r="D27" s="11">
        <v>12751246</v>
      </c>
      <c r="E27" s="12">
        <v>12.751096499999999</v>
      </c>
      <c r="F27" s="12" t="s">
        <v>64</v>
      </c>
      <c r="G27" s="13" t="str">
        <f>IFERROR(HYPERLINK("https://genome.ucsc.edu/cgi-bin/hgc?db=hg38&amp;g=stsMap&amp;i=GAAT5F06&amp;c=chr10&amp;o=12750946&amp;t=12751246","https://genome.ucsc.edu/cgi-bin/hgc?db=hg38&amp;g=stsMap&amp;i=GAAT5F06&amp;c=chr10&amp;o=12750946&amp;t=12751246"),"https://genome.ucsc.edu/cgi-bin/hgc?db=hg38&amp;g=stsMap&amp;i=GAAT5F06&amp;c=chr10&amp;o=12750946&amp;t=12751246")</f>
        <v>https://genome.ucsc.edu/cgi-bin/hgc?db=hg38&amp;g=stsMap&amp;i=GAAT5F06&amp;c=chr10&amp;o=12750946&amp;t=12751246</v>
      </c>
      <c r="H27" s="10" t="s">
        <v>9</v>
      </c>
    </row>
    <row r="28" spans="1:8">
      <c r="A28" s="4" t="s">
        <v>33</v>
      </c>
      <c r="B28" s="5">
        <v>10</v>
      </c>
      <c r="C28" s="6">
        <v>129294244</v>
      </c>
      <c r="D28" s="6">
        <v>129294295</v>
      </c>
      <c r="E28" s="7">
        <v>129.29426950000001</v>
      </c>
      <c r="F28" s="7" t="s">
        <v>62</v>
      </c>
      <c r="G28" s="8" t="str">
        <f>IFERROR(HYPERLINK("https://strhub.app/marker/d10s1248","https://strhub.app/marker/d10s1248"),"https://strhub.app/marker/d10s1248")</f>
        <v>https://strhub.app/marker/d10s1248</v>
      </c>
      <c r="H28" s="5"/>
    </row>
    <row r="29" spans="1:8">
      <c r="A29" s="9" t="s">
        <v>34</v>
      </c>
      <c r="B29" s="10">
        <v>11</v>
      </c>
      <c r="C29" s="11">
        <v>2171088</v>
      </c>
      <c r="D29" s="11">
        <v>2171115</v>
      </c>
      <c r="E29" s="12">
        <v>2.1711014999999998</v>
      </c>
      <c r="F29" s="12" t="s">
        <v>63</v>
      </c>
      <c r="G29" s="13" t="str">
        <f>IFERROR(HYPERLINK("https://strhub.app/marker/th01","https://strhub.app/marker/th01"),"https://strhub.app/marker/th01")</f>
        <v>https://strhub.app/marker/th01</v>
      </c>
      <c r="H29" s="10"/>
    </row>
    <row r="30" spans="1:8">
      <c r="A30" s="4" t="s">
        <v>35</v>
      </c>
      <c r="B30" s="5">
        <v>11</v>
      </c>
      <c r="C30" s="6">
        <v>19259413</v>
      </c>
      <c r="D30" s="6">
        <v>19259855</v>
      </c>
      <c r="E30" s="7">
        <v>19.259633999999998</v>
      </c>
      <c r="F30" s="7" t="s">
        <v>67</v>
      </c>
      <c r="G30" s="8" t="str">
        <f>IFERROR(HYPERLINK("https://genome.ucsc.edu/cgi-bin/hgc?db=hg38&amp;g=stsMap&amp;i=CHLC.GATA73B08&amp;c=chr11&amp;o=19259412&amp;t=19259855","https://genome.ucsc.edu/cgi-bin/hgc?db=hg38&amp;g=stsMap&amp;i=CHLC.GATA73B08&amp;c=chr11&amp;o=19259412&amp;t=19259855"),"https://genome.ucsc.edu/cgi-bin/hgc?db=hg38&amp;g=stsMap&amp;i=CHLC.GATA73B08&amp;c=chr11&amp;o=19259412&amp;t=19259855")</f>
        <v>https://genome.ucsc.edu/cgi-bin/hgc?db=hg38&amp;g=stsMap&amp;i=CHLC.GATA73B08&amp;c=chr11&amp;o=19259412&amp;t=19259855</v>
      </c>
      <c r="H30" s="5" t="s">
        <v>9</v>
      </c>
    </row>
    <row r="31" spans="1:8">
      <c r="A31" s="9" t="s">
        <v>36</v>
      </c>
      <c r="B31" s="10">
        <v>11</v>
      </c>
      <c r="C31" s="11">
        <v>44908683</v>
      </c>
      <c r="D31" s="11">
        <v>44908921</v>
      </c>
      <c r="E31" s="12">
        <v>44.908802000000001</v>
      </c>
      <c r="F31" s="12" t="s">
        <v>68</v>
      </c>
      <c r="G31" s="13" t="str">
        <f>IFERROR(HYPERLINK("https://genome.ucsc.edu/cgi-bin/hgc?db=hg38&amp;g=stsMap&amp;i=D11S554&amp;c=chr11&amp;o=44908682&amp;t=44908921","https://genome.ucsc.edu/cgi-bin/hgc?db=hg38&amp;g=stsMap&amp;i=D11S554&amp;c=chr11&amp;o=44908682&amp;t=44908921"),"https://genome.ucsc.edu/cgi-bin/hgc?db=hg38&amp;g=stsMap&amp;i=D11S554&amp;c=chr11&amp;o=44908682&amp;t=44908921")</f>
        <v>https://genome.ucsc.edu/cgi-bin/hgc?db=hg38&amp;g=stsMap&amp;i=D11S554&amp;c=chr11&amp;o=44908682&amp;t=44908921</v>
      </c>
      <c r="H31" s="10" t="s">
        <v>9</v>
      </c>
    </row>
    <row r="32" spans="1:8">
      <c r="A32" s="14" t="s">
        <v>60</v>
      </c>
      <c r="B32" s="15">
        <v>11</v>
      </c>
      <c r="C32" s="16">
        <v>116831119</v>
      </c>
      <c r="D32" s="16">
        <v>116831412</v>
      </c>
      <c r="E32" s="17">
        <v>116.831266</v>
      </c>
      <c r="F32" s="17" t="s">
        <v>68</v>
      </c>
      <c r="G32" s="14" t="s">
        <v>58</v>
      </c>
      <c r="H32" s="15" t="s">
        <v>59</v>
      </c>
    </row>
    <row r="33" spans="1:8">
      <c r="A33" s="9" t="s">
        <v>37</v>
      </c>
      <c r="B33" s="10">
        <v>12</v>
      </c>
      <c r="C33" s="11">
        <v>5983977</v>
      </c>
      <c r="D33" s="11">
        <v>5984044</v>
      </c>
      <c r="E33" s="12">
        <v>5.9840105000000001</v>
      </c>
      <c r="F33" s="12" t="s">
        <v>63</v>
      </c>
      <c r="G33" s="13" t="str">
        <f>IFERROR(HYPERLINK("https://strhub.app/marker/vwa","https://strhub.app/marker/vwa"),"https://strhub.app/marker/vwa")</f>
        <v>https://strhub.app/marker/vwa</v>
      </c>
      <c r="H33" s="10"/>
    </row>
    <row r="34" spans="1:8">
      <c r="A34" s="4" t="s">
        <v>38</v>
      </c>
      <c r="B34" s="5">
        <v>12</v>
      </c>
      <c r="C34" s="6">
        <v>12297020</v>
      </c>
      <c r="D34" s="6">
        <v>12297095</v>
      </c>
      <c r="E34" s="7">
        <v>12.297057499999999</v>
      </c>
      <c r="F34" s="7" t="s">
        <v>62</v>
      </c>
      <c r="G34" s="8" t="str">
        <f>IFERROR(HYPERLINK("https://strhub.app/marker/d12s391","https://strhub.app/marker/d12s391"),"https://strhub.app/marker/d12s391")</f>
        <v>https://strhub.app/marker/d12s391</v>
      </c>
      <c r="H34" s="5"/>
    </row>
    <row r="35" spans="1:8">
      <c r="A35" s="9" t="s">
        <v>39</v>
      </c>
      <c r="B35" s="10">
        <v>13</v>
      </c>
      <c r="C35" s="11">
        <v>42599114</v>
      </c>
      <c r="D35" s="11">
        <v>42599435</v>
      </c>
      <c r="E35" s="12">
        <v>42.5992745</v>
      </c>
      <c r="F35" s="12" t="s">
        <v>67</v>
      </c>
      <c r="G35" s="13" t="str">
        <f>IFERROR(HYPERLINK("https://genome.ucsc.edu/cgi-bin/hgc?db=hg38&amp;g=stsMap&amp;i=CHLC.GATA6B07&amp;c=chr13&amp;o=42599113&amp;t=42599435","https://genome.ucsc.edu/cgi-bin/hgc?db=hg38&amp;g=stsMap&amp;i=CHLC.GATA6B07&amp;c=chr13&amp;o=42599113&amp;t=42599435"),"https://genome.ucsc.edu/cgi-bin/hgc?db=hg38&amp;g=stsMap&amp;i=CHLC.GATA6B07&amp;c=chr13&amp;o=42599113&amp;t=42599435")</f>
        <v>https://genome.ucsc.edu/cgi-bin/hgc?db=hg38&amp;g=stsMap&amp;i=CHLC.GATA6B07&amp;c=chr13&amp;o=42599113&amp;t=42599435</v>
      </c>
      <c r="H35" s="10" t="s">
        <v>9</v>
      </c>
    </row>
    <row r="36" spans="1:8">
      <c r="A36" s="4" t="s">
        <v>40</v>
      </c>
      <c r="B36" s="5">
        <v>13</v>
      </c>
      <c r="C36" s="6">
        <v>82148025</v>
      </c>
      <c r="D36" s="6">
        <v>82148068</v>
      </c>
      <c r="E36" s="7">
        <v>82.148046500000007</v>
      </c>
      <c r="F36" s="7" t="s">
        <v>63</v>
      </c>
      <c r="G36" s="8" t="str">
        <f>IFERROR(HYPERLINK("https://strhub.app/marker/d13s317","https://strhub.app/marker/d13s317"),"https://strhub.app/marker/d13s317")</f>
        <v>https://strhub.app/marker/d13s317</v>
      </c>
      <c r="H36" s="5"/>
    </row>
    <row r="37" spans="1:8">
      <c r="A37" s="9" t="s">
        <v>41</v>
      </c>
      <c r="B37" s="10">
        <v>14</v>
      </c>
      <c r="C37" s="11">
        <v>94842054</v>
      </c>
      <c r="D37" s="11">
        <v>94842105</v>
      </c>
      <c r="E37" s="12">
        <v>94.842079499999997</v>
      </c>
      <c r="F37" s="12" t="s">
        <v>67</v>
      </c>
      <c r="G37" s="13" t="str">
        <f>IFERROR(HYPERLINK("https://strhub.app/marker/d14s1434","https://strhub.app/marker/d14s1434"),"https://strhub.app/marker/d14s1434")</f>
        <v>https://strhub.app/marker/d14s1434</v>
      </c>
      <c r="H37" s="10"/>
    </row>
    <row r="38" spans="1:8">
      <c r="A38" s="4" t="s">
        <v>42</v>
      </c>
      <c r="B38" s="5">
        <v>15</v>
      </c>
      <c r="C38" s="6">
        <v>46081677</v>
      </c>
      <c r="D38" s="6">
        <v>46082039</v>
      </c>
      <c r="E38" s="7">
        <v>46.081857999999997</v>
      </c>
      <c r="F38" s="7" t="s">
        <v>67</v>
      </c>
      <c r="G38" s="8" t="str">
        <f>IFERROR(HYPERLINK("https://genome.ucsc.edu/cgi-bin/hgc?db=hg38&amp;g=stsMap&amp;i=SHGC-17599&amp;c=chr15&amp;o=46081676&amp;t=46082039","https://genome.ucsc.edu/cgi-bin/hgc?db=hg38&amp;g=stsMap&amp;i=SHGC-17599&amp;c=chr15&amp;o=46081676&amp;t=46082039"),"https://genome.ucsc.edu/cgi-bin/hgc?db=hg38&amp;g=stsMap&amp;i=SHGC-17599&amp;c=chr15&amp;o=46081676&amp;t=46082039")</f>
        <v>https://genome.ucsc.edu/cgi-bin/hgc?db=hg38&amp;g=stsMap&amp;i=SHGC-17599&amp;c=chr15&amp;o=46081676&amp;t=46082039</v>
      </c>
      <c r="H38" s="5" t="s">
        <v>9</v>
      </c>
    </row>
    <row r="39" spans="1:8">
      <c r="A39" s="9" t="s">
        <v>43</v>
      </c>
      <c r="B39" s="10">
        <v>15</v>
      </c>
      <c r="C39" s="11">
        <v>96831015</v>
      </c>
      <c r="D39" s="11">
        <v>96831039</v>
      </c>
      <c r="E39" s="12">
        <v>96.831027000000006</v>
      </c>
      <c r="F39" s="12" t="s">
        <v>63</v>
      </c>
      <c r="G39" s="13" t="str">
        <f>IFERROR(HYPERLINK("https://strhub.app/marker/pentae","https://strhub.app/marker/pentae"),"https://strhub.app/marker/pentae")</f>
        <v>https://strhub.app/marker/pentae</v>
      </c>
      <c r="H39" s="10"/>
    </row>
    <row r="40" spans="1:8">
      <c r="A40" s="4" t="s">
        <v>44</v>
      </c>
      <c r="B40" s="5">
        <v>16</v>
      </c>
      <c r="C40" s="6">
        <v>86352702</v>
      </c>
      <c r="D40" s="6">
        <v>86352745</v>
      </c>
      <c r="E40" s="7">
        <v>86.352723499999996</v>
      </c>
      <c r="F40" s="7" t="s">
        <v>62</v>
      </c>
      <c r="G40" s="8" t="str">
        <f>IFERROR(HYPERLINK("https://strhub.app/marker/d16s539","https://strhub.app/marker/d16s539"),"https://strhub.app/marker/d16s539")</f>
        <v>https://strhub.app/marker/d16s539</v>
      </c>
      <c r="H40" s="5"/>
    </row>
    <row r="41" spans="1:8">
      <c r="A41" s="9" t="s">
        <v>45</v>
      </c>
      <c r="B41" s="10">
        <v>17</v>
      </c>
      <c r="C41" s="11">
        <v>6792985</v>
      </c>
      <c r="D41" s="11">
        <v>6793373</v>
      </c>
      <c r="E41" s="12">
        <v>6.7931790000000003</v>
      </c>
      <c r="F41" s="12" t="s">
        <v>69</v>
      </c>
      <c r="G41" s="13" t="str">
        <f>IFERROR(HYPERLINK("https://genome.ucsc.edu/cgi-bin/hgc?db=hg38&amp;g=stsMap&amp;i=SHGC-4920&amp;c=chr17&amp;o=6792984&amp;t=6793373","https://genome.ucsc.edu/cgi-bin/hgc?db=hg38&amp;g=stsMap&amp;i=SHGC-4920&amp;c=chr17&amp;o=6792984&amp;t=6793373"),"https://genome.ucsc.edu/cgi-bin/hgc?db=hg38&amp;g=stsMap&amp;i=SHGC-4920&amp;c=chr17&amp;o=6792984&amp;t=6793373")</f>
        <v>https://genome.ucsc.edu/cgi-bin/hgc?db=hg38&amp;g=stsMap&amp;i=SHGC-4920&amp;c=chr17&amp;o=6792984&amp;t=6793373</v>
      </c>
      <c r="H41" s="10" t="s">
        <v>9</v>
      </c>
    </row>
    <row r="42" spans="1:8">
      <c r="A42" s="4" t="s">
        <v>46</v>
      </c>
      <c r="B42" s="5">
        <v>17</v>
      </c>
      <c r="C42" s="6">
        <v>74684855</v>
      </c>
      <c r="D42" s="6">
        <v>74684902</v>
      </c>
      <c r="E42" s="7">
        <v>74.684878499999996</v>
      </c>
      <c r="F42" s="7" t="s">
        <v>67</v>
      </c>
      <c r="G42" s="8" t="str">
        <f>IFERROR(HYPERLINK("https://strhub.app/marker/d17s1301","https://strhub.app/marker/d17s1301"),"https://strhub.app/marker/d17s1301")</f>
        <v>https://strhub.app/marker/d17s1301</v>
      </c>
      <c r="H42" s="5"/>
    </row>
    <row r="43" spans="1:8">
      <c r="A43" s="9" t="s">
        <v>47</v>
      </c>
      <c r="B43" s="10">
        <v>18</v>
      </c>
      <c r="C43" s="11">
        <v>63281667</v>
      </c>
      <c r="D43" s="11">
        <v>63281738</v>
      </c>
      <c r="E43" s="12">
        <v>63.281702500000002</v>
      </c>
      <c r="F43" s="12" t="s">
        <v>63</v>
      </c>
      <c r="G43" s="13" t="str">
        <f>IFERROR(HYPERLINK("https://strhub.app/marker/d18s51","https://strhub.app/marker/d18s51"),"https://strhub.app/marker/d18s51")</f>
        <v>https://strhub.app/marker/d18s51</v>
      </c>
      <c r="H43" s="10"/>
    </row>
    <row r="44" spans="1:8">
      <c r="A44" s="4" t="s">
        <v>48</v>
      </c>
      <c r="B44" s="5">
        <v>18</v>
      </c>
      <c r="C44" s="6">
        <v>65732817</v>
      </c>
      <c r="D44" s="6">
        <v>65733119</v>
      </c>
      <c r="E44" s="7">
        <v>65.732968</v>
      </c>
      <c r="F44" s="7" t="s">
        <v>67</v>
      </c>
      <c r="G44" s="8" t="str">
        <f>IFERROR(HYPERLINK("https://genome.ucsc.edu/cgi-bin/hgc?db=hg38&amp;g=stsMap&amp;i=CHLC.GATA7E12&amp;c=chr18&amp;o=65732816&amp;t=65733119","https://genome.ucsc.edu/cgi-bin/hgc?db=hg38&amp;g=stsMap&amp;i=CHLC.GATA7E12&amp;c=chr18&amp;o=65732816&amp;t=65733119"),"https://genome.ucsc.edu/cgi-bin/hgc?db=hg38&amp;g=stsMap&amp;i=CHLC.GATA7E12&amp;c=chr18&amp;o=65732816&amp;t=65733119")</f>
        <v>https://genome.ucsc.edu/cgi-bin/hgc?db=hg38&amp;g=stsMap&amp;i=CHLC.GATA7E12&amp;c=chr18&amp;o=65732816&amp;t=65733119</v>
      </c>
      <c r="H44" s="5" t="s">
        <v>9</v>
      </c>
    </row>
    <row r="45" spans="1:8">
      <c r="A45" s="9" t="s">
        <v>49</v>
      </c>
      <c r="B45" s="10">
        <v>19</v>
      </c>
      <c r="C45" s="11">
        <v>15617325</v>
      </c>
      <c r="D45" s="11">
        <v>15617553</v>
      </c>
      <c r="E45" s="12">
        <v>15.617438999999999</v>
      </c>
      <c r="F45" s="12" t="s">
        <v>67</v>
      </c>
      <c r="G45" s="13" t="str">
        <f>IFERROR(HYPERLINK("https://genome.ucsc.edu/cgi-bin/hgc?db=hg38&amp;g=stsMap&amp;i=D19S253&amp;c=chr19&amp;o=15617324&amp;t=15617553","https://genome.ucsc.edu/cgi-bin/hgc?db=hg38&amp;g=stsMap&amp;i=D19S253&amp;c=chr19&amp;o=15617324&amp;t=15617553"),"https://genome.ucsc.edu/cgi-bin/hgc?db=hg38&amp;g=stsMap&amp;i=D19S253&amp;c=chr19&amp;o=15617324&amp;t=15617553")</f>
        <v>https://genome.ucsc.edu/cgi-bin/hgc?db=hg38&amp;g=stsMap&amp;i=D19S253&amp;c=chr19&amp;o=15617324&amp;t=15617553</v>
      </c>
      <c r="H45" s="10" t="s">
        <v>9</v>
      </c>
    </row>
    <row r="46" spans="1:8">
      <c r="A46" s="4" t="s">
        <v>50</v>
      </c>
      <c r="B46" s="5">
        <v>19</v>
      </c>
      <c r="C46" s="6">
        <v>29926235</v>
      </c>
      <c r="D46" s="6">
        <v>29926298</v>
      </c>
      <c r="E46" s="7">
        <v>29.926266500000001</v>
      </c>
      <c r="F46" s="7" t="s">
        <v>63</v>
      </c>
      <c r="G46" s="8" t="str">
        <f>IFERROR(HYPERLINK("https://strhub.app/marker/d19s433","https://strhub.app/marker/d19s433"),"https://strhub.app/marker/d19s433")</f>
        <v>https://strhub.app/marker/d19s433</v>
      </c>
      <c r="H46" s="5"/>
    </row>
    <row r="47" spans="1:8">
      <c r="A47" s="9" t="s">
        <v>51</v>
      </c>
      <c r="B47" s="10">
        <v>20</v>
      </c>
      <c r="C47" s="11">
        <v>4525692</v>
      </c>
      <c r="D47" s="11">
        <v>4525747</v>
      </c>
      <c r="E47" s="12">
        <v>4.5257195000000001</v>
      </c>
      <c r="F47" s="12" t="s">
        <v>67</v>
      </c>
      <c r="G47" s="13" t="str">
        <f>IFERROR(HYPERLINK("https://strhub.app/marker/d20s482","https://strhub.app/marker/d20s482"),"https://strhub.app/marker/d20s482")</f>
        <v>https://strhub.app/marker/d20s482</v>
      </c>
      <c r="H47" s="10"/>
    </row>
    <row r="48" spans="1:8">
      <c r="A48" s="4" t="s">
        <v>52</v>
      </c>
      <c r="B48" s="5">
        <v>21</v>
      </c>
      <c r="C48" s="6">
        <v>19181973</v>
      </c>
      <c r="D48" s="6">
        <v>19182099</v>
      </c>
      <c r="E48" s="7">
        <v>19.182036</v>
      </c>
      <c r="F48" s="7" t="s">
        <v>63</v>
      </c>
      <c r="G48" s="8" t="str">
        <f>IFERROR(HYPERLINK("https://strhub.app/marker/d21s11","https://strhub.app/marker/d21s11"),"https://strhub.app/marker/d21s11")</f>
        <v>https://strhub.app/marker/d21s11</v>
      </c>
      <c r="H48" s="5"/>
    </row>
    <row r="49" spans="1:8">
      <c r="A49" s="9" t="s">
        <v>53</v>
      </c>
      <c r="B49" s="10">
        <v>21</v>
      </c>
      <c r="C49" s="11">
        <v>39819442</v>
      </c>
      <c r="D49" s="11">
        <v>39819735</v>
      </c>
      <c r="E49" s="12">
        <v>39.819588500000002</v>
      </c>
      <c r="F49" s="12" t="s">
        <v>66</v>
      </c>
      <c r="G49" s="13" t="str">
        <f>IFERROR(HYPERLINK("https://genome.ucsc.edu/cgi-bin/hgc?db=hg38&amp;g=stsMap&amp;i=GATA188F04&amp;c=chr21&amp;o=39819441&amp;t=39819735","https://genome.ucsc.edu/cgi-bin/hgc?db=hg38&amp;g=stsMap&amp;i=GATA188F04&amp;c=chr21&amp;o=39819441&amp;t=39819735"),"https://genome.ucsc.edu/cgi-bin/hgc?db=hg38&amp;g=stsMap&amp;i=GATA188F04&amp;c=chr21&amp;o=39819441&amp;t=39819735")</f>
        <v>https://genome.ucsc.edu/cgi-bin/hgc?db=hg38&amp;g=stsMap&amp;i=GATA188F04&amp;c=chr21&amp;o=39819441&amp;t=39819735</v>
      </c>
      <c r="H49" s="10" t="s">
        <v>9</v>
      </c>
    </row>
    <row r="50" spans="1:8">
      <c r="A50" s="4" t="s">
        <v>54</v>
      </c>
      <c r="B50" s="5">
        <v>21</v>
      </c>
      <c r="C50" s="6">
        <v>43636205</v>
      </c>
      <c r="D50" s="6">
        <v>43636269</v>
      </c>
      <c r="E50" s="7">
        <v>43.636237000000001</v>
      </c>
      <c r="F50" s="7" t="s">
        <v>63</v>
      </c>
      <c r="G50" s="8" t="str">
        <f>IFERROR(HYPERLINK("https://strhub.app/marker/pentad","https://strhub.app/marker/pentad"),"https://strhub.app/marker/pentad")</f>
        <v>https://strhub.app/marker/pentad</v>
      </c>
      <c r="H50" s="5"/>
    </row>
    <row r="51" spans="1:8">
      <c r="A51" s="9" t="s">
        <v>55</v>
      </c>
      <c r="B51" s="10">
        <v>22</v>
      </c>
      <c r="C51" s="11">
        <v>17169811</v>
      </c>
      <c r="D51" s="11">
        <v>17169882</v>
      </c>
      <c r="E51" s="12">
        <v>17.169846499999998</v>
      </c>
      <c r="F51" s="12" t="s">
        <v>67</v>
      </c>
      <c r="G51" s="13" t="str">
        <f>IFERROR(HYPERLINK("https://www.nature.com/articles/s41598-019-52838-7/tables/1","https://www.nature.com/articles/s41598-019-52838-7/tables/1"),"https://www.nature.com/articles/s41598-019-52838-7/tables/1")</f>
        <v>https://www.nature.com/articles/s41598-019-52838-7/tables/1</v>
      </c>
      <c r="H51" s="10"/>
    </row>
    <row r="52" spans="1:8">
      <c r="A52" s="4" t="s">
        <v>56</v>
      </c>
      <c r="B52" s="5">
        <v>22</v>
      </c>
      <c r="C52" s="6">
        <v>37140287</v>
      </c>
      <c r="D52" s="6">
        <v>37140337</v>
      </c>
      <c r="E52" s="7">
        <v>37.140312000000002</v>
      </c>
      <c r="F52" s="7" t="s">
        <v>62</v>
      </c>
      <c r="G52" s="8" t="str">
        <f>IFERROR(HYPERLINK("https://strhub.app/marker/d22s1045","https://strhub.app/marker/d22s1045"),"https://strhub.app/marker/d22s1045")</f>
        <v>https://strhub.app/marker/d22s1045</v>
      </c>
      <c r="H52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GRCh38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Dehli Vigeland</dc:creator>
  <cp:lastModifiedBy>Magnus Dehli Vigeland</cp:lastModifiedBy>
  <dcterms:created xsi:type="dcterms:W3CDTF">2026-10-07T13:48:04Z</dcterms:created>
  <dcterms:modified xsi:type="dcterms:W3CDTF">2026-10-24T17:48:57Z</dcterms:modified>
</cp:coreProperties>
</file>